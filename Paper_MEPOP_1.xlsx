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drofierroz/Dropbox/"/>
    </mc:Choice>
  </mc:AlternateContent>
  <xr:revisionPtr revIDLastSave="0" documentId="8_{73093F38-C46E-B248-BC32-6DB93ADF912F}" xr6:coauthVersionLast="47" xr6:coauthVersionMax="47" xr10:uidLastSave="{00000000-0000-0000-0000-000000000000}"/>
  <bookViews>
    <workbookView xWindow="30240" yWindow="500" windowWidth="25600" windowHeight="17440" xr2:uid="{9D57A660-B96E-9942-B168-7A9AA3EC670B}"/>
  </bookViews>
  <sheets>
    <sheet name="Panel Analysis" sheetId="1" r:id="rId1"/>
    <sheet name="Describe Var." sheetId="2" r:id="rId2"/>
    <sheet name="Cross. Analysi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2" l="1"/>
  <c r="I10" i="2"/>
  <c r="J11" i="2" s="1"/>
  <c r="I9" i="2"/>
  <c r="I8" i="2"/>
  <c r="I7" i="2"/>
  <c r="J8" i="2" s="1"/>
  <c r="I6" i="2"/>
  <c r="J5" i="2"/>
  <c r="I3" i="2"/>
  <c r="I5" i="2"/>
  <c r="I4" i="2"/>
</calcChain>
</file>

<file path=xl/sharedStrings.xml><?xml version="1.0" encoding="utf-8"?>
<sst xmlns="http://schemas.openxmlformats.org/spreadsheetml/2006/main" count="221" uniqueCount="173">
  <si>
    <t>Political Use of Social Media</t>
  </si>
  <si>
    <t>Ideology</t>
  </si>
  <si>
    <t>Socioeconomic Status</t>
  </si>
  <si>
    <t>Age</t>
  </si>
  <si>
    <t>Gender</t>
  </si>
  <si>
    <t>-0.0102614</t>
  </si>
  <si>
    <t>(0.0267159)</t>
  </si>
  <si>
    <t>(0.0106178)</t>
  </si>
  <si>
    <t>(0.0234937)</t>
  </si>
  <si>
    <t>(0.0583131)</t>
  </si>
  <si>
    <t>(0.0020856)</t>
  </si>
  <si>
    <t>Model</t>
  </si>
  <si>
    <t>RE</t>
  </si>
  <si>
    <t>R-Squared</t>
  </si>
  <si>
    <t>Overall</t>
  </si>
  <si>
    <t>Within</t>
  </si>
  <si>
    <t>Between</t>
  </si>
  <si>
    <t>OPE</t>
  </si>
  <si>
    <t>IPE</t>
  </si>
  <si>
    <t>EPE</t>
  </si>
  <si>
    <t>(0.02366427)</t>
  </si>
  <si>
    <t>(0.01222762)</t>
  </si>
  <si>
    <t>(0.03654759)</t>
  </si>
  <si>
    <t>(0.04529339)</t>
  </si>
  <si>
    <t>FE</t>
  </si>
  <si>
    <t>-0.007919</t>
  </si>
  <si>
    <t>(0.0221566)</t>
  </si>
  <si>
    <t>(0.0089000)</t>
  </si>
  <si>
    <t>(0.0197904)</t>
  </si>
  <si>
    <t>(0.0495226)</t>
  </si>
  <si>
    <t>(0.0017703)</t>
  </si>
  <si>
    <t>-0.0077897***</t>
  </si>
  <si>
    <t>-0.0155444†</t>
  </si>
  <si>
    <t>0.1102612***</t>
  </si>
  <si>
    <t>-0.0039471†</t>
  </si>
  <si>
    <t>0.3942251***</t>
  </si>
  <si>
    <t>Panel</t>
  </si>
  <si>
    <t>Variable</t>
  </si>
  <si>
    <t>Mean</t>
  </si>
  <si>
    <t>Std. Dev.</t>
  </si>
  <si>
    <t>Observations</t>
  </si>
  <si>
    <t>N = 1264</t>
  </si>
  <si>
    <t>t = 2</t>
  </si>
  <si>
    <t>n= 632</t>
  </si>
  <si>
    <t>Variances</t>
  </si>
  <si>
    <t>Media</t>
  </si>
  <si>
    <t>Social Media</t>
  </si>
  <si>
    <t>Franja</t>
  </si>
  <si>
    <t>Online Political Efficacy</t>
  </si>
  <si>
    <t>Education</t>
  </si>
  <si>
    <t>Political Interest</t>
  </si>
  <si>
    <t>Exposure</t>
  </si>
  <si>
    <t>Political Use of SM</t>
  </si>
  <si>
    <t>(0.001975)</t>
  </si>
  <si>
    <t>(0.029457)</t>
  </si>
  <si>
    <t>(0.016388)</t>
  </si>
  <si>
    <t>(0.055913)</t>
  </si>
  <si>
    <t>(0.031602)</t>
  </si>
  <si>
    <t>(0.052811)</t>
  </si>
  <si>
    <t>(0.001952)</t>
  </si>
  <si>
    <t>(0.029203)</t>
  </si>
  <si>
    <t>(0.016167)</t>
  </si>
  <si>
    <t>(0.055164)</t>
  </si>
  <si>
    <t>(0.029706)</t>
  </si>
  <si>
    <t>(0.031859)</t>
  </si>
  <si>
    <t>-0.007486***</t>
  </si>
  <si>
    <t>-0.109179†</t>
  </si>
  <si>
    <t>0.271343***</t>
  </si>
  <si>
    <t>0.246881***</t>
  </si>
  <si>
    <t>-0.006537***</t>
  </si>
  <si>
    <t>-0.122152*</t>
  </si>
  <si>
    <t>0.270681***</t>
  </si>
  <si>
    <t>0.235806***</t>
  </si>
  <si>
    <t>(0.001995)</t>
  </si>
  <si>
    <t>(0.029724)</t>
  </si>
  <si>
    <t>(0.016597)</t>
  </si>
  <si>
    <t>(0.056748)</t>
  </si>
  <si>
    <t>(0.030324)</t>
  </si>
  <si>
    <t>(0.020765)</t>
  </si>
  <si>
    <t>-0.007528***</t>
  </si>
  <si>
    <t>0.05116†</t>
  </si>
  <si>
    <t>-0.110514†</t>
  </si>
  <si>
    <t>0.325612***</t>
  </si>
  <si>
    <t>-0.0003239</t>
  </si>
  <si>
    <t>(0.0019217)</t>
  </si>
  <si>
    <t>(0.0288750)</t>
  </si>
  <si>
    <t>(0.0159404)</t>
  </si>
  <si>
    <t>(0.0542733)</t>
  </si>
  <si>
    <t>(0.0326632)</t>
  </si>
  <si>
    <t>(0.0318763)</t>
  </si>
  <si>
    <t>Internal Efficacy</t>
  </si>
  <si>
    <t>External Efficacy</t>
  </si>
  <si>
    <t>-0.0063026**</t>
  </si>
  <si>
    <t>-0.1001032†</t>
  </si>
  <si>
    <t>0.1707454***</t>
  </si>
  <si>
    <t>0.3065948***</t>
  </si>
  <si>
    <t>(0.001114)</t>
  </si>
  <si>
    <t>(0.016606)</t>
  </si>
  <si>
    <t>(0.009239)</t>
  </si>
  <si>
    <t>(0.031521)</t>
  </si>
  <si>
    <t>(0.017816)</t>
  </si>
  <si>
    <t>(0.029772)</t>
  </si>
  <si>
    <t>0.006803***</t>
  </si>
  <si>
    <t>-0.075822*</t>
  </si>
  <si>
    <t>0.293515***</t>
  </si>
  <si>
    <t>0.095937**</t>
  </si>
  <si>
    <t>(0.001121)</t>
  </si>
  <si>
    <t>(0.016771)</t>
  </si>
  <si>
    <t>(0.009284)</t>
  </si>
  <si>
    <t>(0.031680)</t>
  </si>
  <si>
    <t>(0.017060)</t>
  </si>
  <si>
    <t>(0.018297)</t>
  </si>
  <si>
    <t>0.006825***</t>
  </si>
  <si>
    <t>-0.075816*</t>
  </si>
  <si>
    <t>0.313414***</t>
  </si>
  <si>
    <t>-0.011325</t>
  </si>
  <si>
    <t>(0.001119)</t>
  </si>
  <si>
    <t>(0.016668)</t>
  </si>
  <si>
    <t>(0.009307)</t>
  </si>
  <si>
    <t>(0.031822)</t>
  </si>
  <si>
    <t>(0.017004)</t>
  </si>
  <si>
    <t>(0.011644)</t>
  </si>
  <si>
    <t>0.006747***</t>
  </si>
  <si>
    <t>-0.071906*</t>
  </si>
  <si>
    <t>0.320533***</t>
  </si>
  <si>
    <t>-0.002336</t>
  </si>
  <si>
    <t>(0.001117)</t>
  </si>
  <si>
    <t>(0.016782)</t>
  </si>
  <si>
    <t>(0.009264)</t>
  </si>
  <si>
    <t>(0.031543)</t>
  </si>
  <si>
    <t>(0.018983)</t>
  </si>
  <si>
    <t>(0.018526)</t>
  </si>
  <si>
    <t>0.007002***</t>
  </si>
  <si>
    <t>-0.073798*</t>
  </si>
  <si>
    <t>0.287505***</t>
  </si>
  <si>
    <t>0.055401**</t>
  </si>
  <si>
    <t>(0.001673)</t>
  </si>
  <si>
    <t>(0.024949)</t>
  </si>
  <si>
    <t>(0.013880)</t>
  </si>
  <si>
    <t>(0.047357)</t>
  </si>
  <si>
    <t>(0.026766)</t>
  </si>
  <si>
    <t>(0.044730)</t>
  </si>
  <si>
    <t>-0.010794***</t>
  </si>
  <si>
    <t>0.045041†</t>
  </si>
  <si>
    <t>-0.044979†</t>
  </si>
  <si>
    <t>(0.00167)</t>
  </si>
  <si>
    <t>(0.02497)</t>
  </si>
  <si>
    <t>(0.01383)</t>
  </si>
  <si>
    <t>(0.04717)</t>
  </si>
  <si>
    <t>(0.02540)</t>
  </si>
  <si>
    <t>(0.02724)</t>
  </si>
  <si>
    <t>-0.01042***</t>
  </si>
  <si>
    <t>-0.06271*</t>
  </si>
  <si>
    <t>0.08806**</t>
  </si>
  <si>
    <t>(0.001672)</t>
  </si>
  <si>
    <t>(0.024921)</t>
  </si>
  <si>
    <t>(0.013915)</t>
  </si>
  <si>
    <t>(0.047578)</t>
  </si>
  <si>
    <t>(0.025424)</t>
  </si>
  <si>
    <t>(0.017409)</t>
  </si>
  <si>
    <t>(0.001646)</t>
  </si>
  <si>
    <t>(0.024738)</t>
  </si>
  <si>
    <t>(0.013657)</t>
  </si>
  <si>
    <t>(0.046498)</t>
  </si>
  <si>
    <t>(0.027984)</t>
  </si>
  <si>
    <t>(0.027310)</t>
  </si>
  <si>
    <t>-0.010072***</t>
  </si>
  <si>
    <t>-0.132870***</t>
  </si>
  <si>
    <t>0.177769***</t>
  </si>
  <si>
    <t>-0.049246†</t>
  </si>
  <si>
    <t>0.044755†</t>
  </si>
  <si>
    <t>-0.010741***</t>
  </si>
  <si>
    <t>R-squared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</si>
</sst>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5" xfId="0" applyBorder="1"/>
    <xf numFmtId="0" fontId="0" fillId="0" borderId="4" xfId="0" applyBorder="1"/>
    <xf numFmtId="0" fontId="1" fillId="0" borderId="3" xfId="0" applyFont="1" applyBorder="1"/>
    <xf numFmtId="0" fontId="1" fillId="0" borderId="5" xfId="0" applyFont="1" applyBorder="1"/>
    <xf numFmtId="0" fontId="1" fillId="0" borderId="1" xfId="0" applyFont="1" applyBorder="1"/>
    <xf numFmtId="0" fontId="0" fillId="0" borderId="2" xfId="0" applyBorder="1" applyAlignment="1">
      <alignment horizontal="right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2" xfId="0" quotePrefix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quotePrefix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4" xfId="0" quotePrefix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quotePrefix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A2F85-0638-0C4F-B363-EAEB5FE44EDB}">
  <dimension ref="A2:D17"/>
  <sheetViews>
    <sheetView tabSelected="1" workbookViewId="0">
      <selection activeCell="F8" sqref="F8"/>
    </sheetView>
  </sheetViews>
  <sheetFormatPr baseColWidth="10" defaultRowHeight="16" x14ac:dyDescent="0.2"/>
  <cols>
    <col min="1" max="1" width="24" bestFit="1" customWidth="1"/>
    <col min="2" max="2" width="12.6640625" bestFit="1" customWidth="1"/>
    <col min="3" max="3" width="12.1640625" bestFit="1" customWidth="1"/>
    <col min="4" max="4" width="13.33203125" bestFit="1" customWidth="1"/>
  </cols>
  <sheetData>
    <row r="2" spans="1:4" x14ac:dyDescent="0.2">
      <c r="A2" s="3"/>
      <c r="B2" s="5" t="s">
        <v>17</v>
      </c>
      <c r="C2" s="5" t="s">
        <v>18</v>
      </c>
      <c r="D2" s="2" t="s">
        <v>19</v>
      </c>
    </row>
    <row r="3" spans="1:4" x14ac:dyDescent="0.2">
      <c r="A3" s="4" t="s">
        <v>0</v>
      </c>
      <c r="B3" s="22" t="s">
        <v>35</v>
      </c>
      <c r="C3" s="22">
        <v>3.4200920000000003E-2</v>
      </c>
      <c r="D3" s="11" t="s">
        <v>33</v>
      </c>
    </row>
    <row r="4" spans="1:4" x14ac:dyDescent="0.2">
      <c r="A4" s="4"/>
      <c r="B4" s="21" t="s">
        <v>6</v>
      </c>
      <c r="C4" s="21" t="s">
        <v>20</v>
      </c>
      <c r="D4" s="12" t="s">
        <v>26</v>
      </c>
    </row>
    <row r="5" spans="1:4" x14ac:dyDescent="0.2">
      <c r="A5" s="4" t="s">
        <v>1</v>
      </c>
      <c r="B5" s="22">
        <v>1.5252E-2</v>
      </c>
      <c r="C5" s="22">
        <v>9.2247E-4</v>
      </c>
      <c r="D5" s="12" t="s">
        <v>32</v>
      </c>
    </row>
    <row r="6" spans="1:4" x14ac:dyDescent="0.2">
      <c r="A6" s="3"/>
      <c r="B6" s="23" t="s">
        <v>7</v>
      </c>
      <c r="C6" s="23" t="s">
        <v>21</v>
      </c>
      <c r="D6" s="15" t="s">
        <v>27</v>
      </c>
    </row>
    <row r="7" spans="1:4" x14ac:dyDescent="0.2">
      <c r="A7" s="4" t="s">
        <v>2</v>
      </c>
      <c r="B7" s="21" t="s">
        <v>5</v>
      </c>
      <c r="C7" s="22">
        <v>1.853026E-2</v>
      </c>
      <c r="D7" s="12" t="s">
        <v>25</v>
      </c>
    </row>
    <row r="8" spans="1:4" x14ac:dyDescent="0.2">
      <c r="A8" s="4"/>
      <c r="B8" s="21" t="s">
        <v>8</v>
      </c>
      <c r="C8" s="21" t="s">
        <v>22</v>
      </c>
      <c r="D8" s="12" t="s">
        <v>28</v>
      </c>
    </row>
    <row r="9" spans="1:4" x14ac:dyDescent="0.2">
      <c r="A9" s="4" t="s">
        <v>4</v>
      </c>
      <c r="B9" s="22">
        <v>4.1548300000000003E-2</v>
      </c>
      <c r="C9" s="22"/>
      <c r="D9" s="11">
        <v>7.9835400000000001E-2</v>
      </c>
    </row>
    <row r="10" spans="1:4" x14ac:dyDescent="0.2">
      <c r="A10" s="4"/>
      <c r="B10" s="21" t="s">
        <v>9</v>
      </c>
      <c r="C10" s="22"/>
      <c r="D10" s="12" t="s">
        <v>29</v>
      </c>
    </row>
    <row r="11" spans="1:4" x14ac:dyDescent="0.2">
      <c r="A11" s="4" t="s">
        <v>3</v>
      </c>
      <c r="B11" s="21" t="s">
        <v>34</v>
      </c>
      <c r="C11" s="22">
        <v>2.1787299999999999E-2</v>
      </c>
      <c r="D11" s="12" t="s">
        <v>31</v>
      </c>
    </row>
    <row r="12" spans="1:4" x14ac:dyDescent="0.2">
      <c r="A12" s="3"/>
      <c r="B12" s="23" t="s">
        <v>10</v>
      </c>
      <c r="C12" s="23" t="s">
        <v>23</v>
      </c>
      <c r="D12" s="15" t="s">
        <v>30</v>
      </c>
    </row>
    <row r="13" spans="1:4" x14ac:dyDescent="0.2">
      <c r="A13" s="4" t="s">
        <v>11</v>
      </c>
      <c r="B13" s="22" t="s">
        <v>12</v>
      </c>
      <c r="C13" s="22" t="s">
        <v>24</v>
      </c>
      <c r="D13" s="11" t="s">
        <v>12</v>
      </c>
    </row>
    <row r="14" spans="1:4" x14ac:dyDescent="0.2">
      <c r="A14" s="4" t="s">
        <v>13</v>
      </c>
      <c r="B14" s="22"/>
      <c r="C14" s="22"/>
      <c r="D14" s="11"/>
    </row>
    <row r="15" spans="1:4" x14ac:dyDescent="0.2">
      <c r="A15" s="10" t="s">
        <v>14</v>
      </c>
      <c r="B15" s="22">
        <v>0.139672915593341</v>
      </c>
      <c r="C15" s="22">
        <v>0.108501832521621</v>
      </c>
      <c r="D15" s="11">
        <v>4.1722936527282699E-2</v>
      </c>
    </row>
    <row r="16" spans="1:4" x14ac:dyDescent="0.2">
      <c r="A16" s="10" t="s">
        <v>15</v>
      </c>
      <c r="B16" s="22">
        <v>7.4976582434112704E-2</v>
      </c>
      <c r="C16" s="22">
        <v>4.0502878181015401E-3</v>
      </c>
      <c r="D16" s="11">
        <v>1.8250427101534499E-2</v>
      </c>
    </row>
    <row r="17" spans="1:4" x14ac:dyDescent="0.2">
      <c r="A17" s="10" t="s">
        <v>16</v>
      </c>
      <c r="B17" s="22">
        <v>0.187792909979203</v>
      </c>
      <c r="C17" s="22">
        <v>0.14902740370738601</v>
      </c>
      <c r="D17" s="11">
        <v>6.0422531802861799E-2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8E0A6-81BD-BD43-8E49-B97EE0EFE16D}">
  <dimension ref="A2:J11"/>
  <sheetViews>
    <sheetView workbookViewId="0">
      <selection activeCell="A2" sqref="A2:E11"/>
    </sheetView>
  </sheetViews>
  <sheetFormatPr baseColWidth="10" defaultRowHeight="16" x14ac:dyDescent="0.2"/>
  <cols>
    <col min="5" max="5" width="11.83203125" bestFit="1" customWidth="1"/>
  </cols>
  <sheetData>
    <row r="2" spans="1:10" x14ac:dyDescent="0.2">
      <c r="A2" s="7" t="s">
        <v>37</v>
      </c>
      <c r="B2" s="8" t="s">
        <v>36</v>
      </c>
      <c r="C2" s="8" t="s">
        <v>38</v>
      </c>
      <c r="D2" s="8" t="s">
        <v>39</v>
      </c>
      <c r="E2" s="9" t="s">
        <v>40</v>
      </c>
      <c r="I2" t="s">
        <v>44</v>
      </c>
    </row>
    <row r="3" spans="1:10" x14ac:dyDescent="0.2">
      <c r="A3" s="4" t="s">
        <v>17</v>
      </c>
      <c r="B3" s="6" t="s">
        <v>14</v>
      </c>
      <c r="C3" s="6">
        <v>0</v>
      </c>
      <c r="D3" s="6">
        <v>1.0040876000000001</v>
      </c>
      <c r="E3" t="s">
        <v>41</v>
      </c>
      <c r="I3" s="1">
        <f>D3^2</f>
        <v>1.0081919084737601</v>
      </c>
    </row>
    <row r="4" spans="1:10" x14ac:dyDescent="0.2">
      <c r="A4" s="4"/>
      <c r="B4" s="6" t="s">
        <v>16</v>
      </c>
      <c r="C4" s="6"/>
      <c r="D4" s="6">
        <v>0.8549196</v>
      </c>
      <c r="E4" t="s">
        <v>43</v>
      </c>
      <c r="I4">
        <f>D4^2</f>
        <v>0.73088752246416</v>
      </c>
    </row>
    <row r="5" spans="1:10" x14ac:dyDescent="0.2">
      <c r="A5" s="3"/>
      <c r="B5" s="5" t="s">
        <v>15</v>
      </c>
      <c r="C5" s="5"/>
      <c r="D5" s="5">
        <v>0.52714629999999996</v>
      </c>
      <c r="E5" s="2" t="s">
        <v>42</v>
      </c>
      <c r="I5">
        <f>D5^2</f>
        <v>0.27788322160368994</v>
      </c>
      <c r="J5" s="1">
        <f>I4+I5</f>
        <v>1.0087707440678499</v>
      </c>
    </row>
    <row r="6" spans="1:10" x14ac:dyDescent="0.2">
      <c r="A6" s="4" t="s">
        <v>18</v>
      </c>
      <c r="B6" s="6" t="s">
        <v>14</v>
      </c>
      <c r="C6" s="6">
        <v>0</v>
      </c>
      <c r="D6" s="6">
        <v>0.43403979999999998</v>
      </c>
      <c r="E6" t="s">
        <v>41</v>
      </c>
      <c r="I6" s="1">
        <f>D6^2</f>
        <v>0.18839054798403998</v>
      </c>
    </row>
    <row r="7" spans="1:10" x14ac:dyDescent="0.2">
      <c r="A7" s="4"/>
      <c r="B7" s="6" t="s">
        <v>16</v>
      </c>
      <c r="C7" s="6"/>
      <c r="D7" s="6">
        <v>0.37491790000000003</v>
      </c>
      <c r="E7" t="s">
        <v>43</v>
      </c>
      <c r="I7">
        <f>D7^2</f>
        <v>0.14056343174041003</v>
      </c>
    </row>
    <row r="8" spans="1:10" x14ac:dyDescent="0.2">
      <c r="A8" s="3"/>
      <c r="B8" s="5" t="s">
        <v>15</v>
      </c>
      <c r="C8" s="5"/>
      <c r="D8" s="5">
        <v>0.21894849999999999</v>
      </c>
      <c r="E8" s="2" t="s">
        <v>42</v>
      </c>
      <c r="I8">
        <f>D8^2</f>
        <v>4.7938445652249993E-2</v>
      </c>
      <c r="J8" s="1">
        <f>I7+I8</f>
        <v>0.18850187739266003</v>
      </c>
    </row>
    <row r="9" spans="1:10" x14ac:dyDescent="0.2">
      <c r="A9" s="4" t="s">
        <v>19</v>
      </c>
      <c r="B9" s="6" t="s">
        <v>14</v>
      </c>
      <c r="C9" s="6">
        <v>0</v>
      </c>
      <c r="D9" s="6">
        <v>0.79324380000000005</v>
      </c>
      <c r="E9" t="s">
        <v>41</v>
      </c>
      <c r="I9" s="1">
        <f>D9^2</f>
        <v>0.62923572623844004</v>
      </c>
    </row>
    <row r="10" spans="1:10" x14ac:dyDescent="0.2">
      <c r="A10" s="4"/>
      <c r="B10" s="6" t="s">
        <v>16</v>
      </c>
      <c r="C10" s="6"/>
      <c r="D10" s="6">
        <v>0.68034600000000001</v>
      </c>
      <c r="E10" t="s">
        <v>43</v>
      </c>
      <c r="I10">
        <f>D10^2</f>
        <v>0.46287067971599999</v>
      </c>
    </row>
    <row r="11" spans="1:10" x14ac:dyDescent="0.2">
      <c r="A11" s="4"/>
      <c r="B11" s="6" t="s">
        <v>15</v>
      </c>
      <c r="C11" s="6"/>
      <c r="D11" s="6">
        <v>0.40832780000000002</v>
      </c>
      <c r="E11" t="s">
        <v>42</v>
      </c>
      <c r="I11">
        <f>D11^2</f>
        <v>0.16673159225284001</v>
      </c>
      <c r="J11" s="1">
        <f>I10+I11</f>
        <v>0.62960227196884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59F7B-388A-F24E-AC85-B5D853CCFFC3}">
  <dimension ref="A1:P37"/>
  <sheetViews>
    <sheetView workbookViewId="0">
      <selection activeCell="A23" sqref="A23:D36"/>
    </sheetView>
  </sheetViews>
  <sheetFormatPr baseColWidth="10" defaultRowHeight="16" x14ac:dyDescent="0.2"/>
  <cols>
    <col min="1" max="1" width="19.33203125" bestFit="1" customWidth="1"/>
    <col min="2" max="2" width="20.33203125" bestFit="1" customWidth="1"/>
    <col min="3" max="3" width="17" customWidth="1"/>
    <col min="4" max="4" width="14.5" bestFit="1" customWidth="1"/>
    <col min="7" max="7" width="19.33203125" bestFit="1" customWidth="1"/>
    <col min="8" max="8" width="17.33203125" customWidth="1"/>
    <col min="9" max="9" width="14.33203125" customWidth="1"/>
    <col min="10" max="10" width="14.83203125" customWidth="1"/>
    <col min="13" max="13" width="19.33203125" bestFit="1" customWidth="1"/>
    <col min="14" max="14" width="15.5" customWidth="1"/>
    <col min="15" max="15" width="14.33203125" customWidth="1"/>
    <col min="16" max="16" width="16.1640625" customWidth="1"/>
  </cols>
  <sheetData>
    <row r="1" spans="1:16" x14ac:dyDescent="0.2">
      <c r="B1" s="14" t="s">
        <v>48</v>
      </c>
      <c r="C1" s="14"/>
      <c r="D1" s="14"/>
      <c r="H1" s="14" t="s">
        <v>90</v>
      </c>
      <c r="I1" s="14"/>
      <c r="J1" s="14"/>
      <c r="N1" s="14" t="s">
        <v>91</v>
      </c>
      <c r="O1" s="14"/>
      <c r="P1" s="14"/>
    </row>
    <row r="2" spans="1:16" x14ac:dyDescent="0.2">
      <c r="A2" s="3"/>
      <c r="B2" s="16" t="s">
        <v>45</v>
      </c>
      <c r="C2" s="20" t="s">
        <v>46</v>
      </c>
      <c r="D2" s="13" t="s">
        <v>47</v>
      </c>
      <c r="G2" s="3"/>
      <c r="H2" s="24" t="s">
        <v>45</v>
      </c>
      <c r="I2" s="25" t="s">
        <v>46</v>
      </c>
      <c r="J2" s="13" t="s">
        <v>47</v>
      </c>
      <c r="M2" s="3"/>
      <c r="N2" s="25" t="s">
        <v>45</v>
      </c>
      <c r="O2" s="24" t="s">
        <v>46</v>
      </c>
      <c r="P2" s="13" t="s">
        <v>47</v>
      </c>
    </row>
    <row r="3" spans="1:16" x14ac:dyDescent="0.2">
      <c r="A3" s="4" t="s">
        <v>3</v>
      </c>
      <c r="B3" s="17" t="s">
        <v>65</v>
      </c>
      <c r="C3" s="21" t="s">
        <v>69</v>
      </c>
      <c r="D3" s="12" t="s">
        <v>79</v>
      </c>
      <c r="G3" s="4" t="s">
        <v>3</v>
      </c>
      <c r="H3" s="17" t="s">
        <v>102</v>
      </c>
      <c r="I3" s="21" t="s">
        <v>112</v>
      </c>
      <c r="J3" s="12" t="s">
        <v>122</v>
      </c>
      <c r="M3" s="4" t="s">
        <v>3</v>
      </c>
      <c r="N3" s="21" t="s">
        <v>142</v>
      </c>
      <c r="O3" s="17" t="s">
        <v>151</v>
      </c>
      <c r="P3" s="12" t="s">
        <v>171</v>
      </c>
    </row>
    <row r="4" spans="1:16" x14ac:dyDescent="0.2">
      <c r="A4" s="4"/>
      <c r="B4" s="17" t="s">
        <v>53</v>
      </c>
      <c r="C4" s="21" t="s">
        <v>59</v>
      </c>
      <c r="D4" s="12" t="s">
        <v>73</v>
      </c>
      <c r="G4" s="4"/>
      <c r="H4" s="17" t="s">
        <v>96</v>
      </c>
      <c r="I4" s="21" t="s">
        <v>106</v>
      </c>
      <c r="J4" s="12" t="s">
        <v>116</v>
      </c>
      <c r="M4" s="4"/>
      <c r="N4" s="21" t="s">
        <v>136</v>
      </c>
      <c r="O4" s="17" t="s">
        <v>145</v>
      </c>
      <c r="P4" s="12" t="s">
        <v>154</v>
      </c>
    </row>
    <row r="5" spans="1:16" x14ac:dyDescent="0.2">
      <c r="A5" s="4" t="s">
        <v>2</v>
      </c>
      <c r="B5" s="18">
        <v>4.6625E-2</v>
      </c>
      <c r="C5" s="22">
        <v>2.7649E-2</v>
      </c>
      <c r="D5" s="11" t="s">
        <v>80</v>
      </c>
      <c r="G5" s="4" t="s">
        <v>2</v>
      </c>
      <c r="H5" s="18">
        <v>3.0170000000000002E-3</v>
      </c>
      <c r="I5" s="22">
        <v>3.7590000000000002E-3</v>
      </c>
      <c r="J5" s="11">
        <v>5.2249999999999996E-3</v>
      </c>
      <c r="M5" s="4" t="s">
        <v>2</v>
      </c>
      <c r="N5" s="22" t="s">
        <v>143</v>
      </c>
      <c r="O5" s="18">
        <v>3.6499999999999998E-2</v>
      </c>
      <c r="P5" s="11" t="s">
        <v>170</v>
      </c>
    </row>
    <row r="6" spans="1:16" x14ac:dyDescent="0.2">
      <c r="A6" s="4"/>
      <c r="B6" s="17" t="s">
        <v>54</v>
      </c>
      <c r="C6" s="21" t="s">
        <v>60</v>
      </c>
      <c r="D6" s="12" t="s">
        <v>74</v>
      </c>
      <c r="G6" s="4"/>
      <c r="H6" s="17" t="s">
        <v>97</v>
      </c>
      <c r="I6" s="21" t="s">
        <v>107</v>
      </c>
      <c r="J6" s="12" t="s">
        <v>117</v>
      </c>
      <c r="M6" s="4"/>
      <c r="N6" s="21" t="s">
        <v>137</v>
      </c>
      <c r="O6" s="17" t="s">
        <v>146</v>
      </c>
      <c r="P6" s="12" t="s">
        <v>155</v>
      </c>
    </row>
    <row r="7" spans="1:16" x14ac:dyDescent="0.2">
      <c r="A7" s="4" t="s">
        <v>49</v>
      </c>
      <c r="B7" s="18">
        <v>8.7609999999999997E-3</v>
      </c>
      <c r="C7" s="22">
        <v>1.4456E-2</v>
      </c>
      <c r="D7" s="11">
        <v>1.0789E-2</v>
      </c>
      <c r="G7" s="4" t="s">
        <v>49</v>
      </c>
      <c r="H7" s="18">
        <v>1.3575E-2</v>
      </c>
      <c r="I7" s="22">
        <v>1.4289E-2</v>
      </c>
      <c r="J7" s="11">
        <v>1.3339999999999999E-2</v>
      </c>
      <c r="M7" s="4" t="s">
        <v>49</v>
      </c>
      <c r="N7" s="22">
        <v>9.1280000000000007E-3</v>
      </c>
      <c r="O7" s="18">
        <v>1.0869999999999999E-2</v>
      </c>
      <c r="P7" s="11">
        <v>1.0716E-2</v>
      </c>
    </row>
    <row r="8" spans="1:16" x14ac:dyDescent="0.2">
      <c r="A8" s="4"/>
      <c r="B8" s="17" t="s">
        <v>55</v>
      </c>
      <c r="C8" s="21" t="s">
        <v>61</v>
      </c>
      <c r="D8" s="12" t="s">
        <v>75</v>
      </c>
      <c r="G8" s="4"/>
      <c r="H8" s="17" t="s">
        <v>98</v>
      </c>
      <c r="I8" s="21" t="s">
        <v>108</v>
      </c>
      <c r="J8" s="12" t="s">
        <v>118</v>
      </c>
      <c r="M8" s="4"/>
      <c r="N8" s="21" t="s">
        <v>138</v>
      </c>
      <c r="O8" s="17" t="s">
        <v>147</v>
      </c>
      <c r="P8" s="12" t="s">
        <v>156</v>
      </c>
    </row>
    <row r="9" spans="1:16" x14ac:dyDescent="0.2">
      <c r="A9" s="4" t="s">
        <v>4</v>
      </c>
      <c r="B9" s="17" t="s">
        <v>66</v>
      </c>
      <c r="C9" s="21" t="s">
        <v>70</v>
      </c>
      <c r="D9" s="12" t="s">
        <v>81</v>
      </c>
      <c r="G9" s="4" t="s">
        <v>4</v>
      </c>
      <c r="H9" s="17" t="s">
        <v>103</v>
      </c>
      <c r="I9" s="21" t="s">
        <v>113</v>
      </c>
      <c r="J9" s="12" t="s">
        <v>123</v>
      </c>
      <c r="M9" s="4" t="s">
        <v>4</v>
      </c>
      <c r="N9" s="21">
        <v>6.2272000000000001E-2</v>
      </c>
      <c r="O9" s="17">
        <v>5.688E-2</v>
      </c>
      <c r="P9" s="12">
        <v>5.5947999999999998E-2</v>
      </c>
    </row>
    <row r="10" spans="1:16" x14ac:dyDescent="0.2">
      <c r="A10" s="3"/>
      <c r="B10" s="19" t="s">
        <v>56</v>
      </c>
      <c r="C10" s="23" t="s">
        <v>62</v>
      </c>
      <c r="D10" s="15" t="s">
        <v>76</v>
      </c>
      <c r="G10" s="3"/>
      <c r="H10" s="19" t="s">
        <v>99</v>
      </c>
      <c r="I10" s="23" t="s">
        <v>109</v>
      </c>
      <c r="J10" s="15" t="s">
        <v>119</v>
      </c>
      <c r="M10" s="3"/>
      <c r="N10" s="23" t="s">
        <v>139</v>
      </c>
      <c r="O10" s="19" t="s">
        <v>148</v>
      </c>
      <c r="P10" s="15" t="s">
        <v>157</v>
      </c>
    </row>
    <row r="11" spans="1:16" x14ac:dyDescent="0.2">
      <c r="A11" s="4" t="s">
        <v>50</v>
      </c>
      <c r="B11" s="18" t="s">
        <v>67</v>
      </c>
      <c r="C11" s="22" t="s">
        <v>71</v>
      </c>
      <c r="D11" s="11" t="s">
        <v>82</v>
      </c>
      <c r="G11" s="4" t="s">
        <v>50</v>
      </c>
      <c r="H11" s="18" t="s">
        <v>104</v>
      </c>
      <c r="I11" s="22" t="s">
        <v>114</v>
      </c>
      <c r="J11" s="11" t="s">
        <v>124</v>
      </c>
      <c r="M11" s="4" t="s">
        <v>50</v>
      </c>
      <c r="N11" s="21" t="s">
        <v>144</v>
      </c>
      <c r="O11" s="17" t="s">
        <v>152</v>
      </c>
      <c r="P11" s="12" t="s">
        <v>169</v>
      </c>
    </row>
    <row r="12" spans="1:16" x14ac:dyDescent="0.2">
      <c r="A12" s="4"/>
      <c r="B12" s="17" t="s">
        <v>57</v>
      </c>
      <c r="C12" s="21" t="s">
        <v>63</v>
      </c>
      <c r="D12" s="12" t="s">
        <v>77</v>
      </c>
      <c r="G12" s="4"/>
      <c r="H12" s="17" t="s">
        <v>100</v>
      </c>
      <c r="I12" s="21" t="s">
        <v>110</v>
      </c>
      <c r="J12" s="12" t="s">
        <v>120</v>
      </c>
      <c r="M12" s="4"/>
      <c r="N12" s="21" t="s">
        <v>140</v>
      </c>
      <c r="O12" s="17" t="s">
        <v>149</v>
      </c>
      <c r="P12" s="12" t="s">
        <v>158</v>
      </c>
    </row>
    <row r="13" spans="1:16" x14ac:dyDescent="0.2">
      <c r="A13" s="4" t="s">
        <v>51</v>
      </c>
      <c r="B13" s="18" t="s">
        <v>68</v>
      </c>
      <c r="C13" s="22" t="s">
        <v>72</v>
      </c>
      <c r="D13" s="11">
        <v>1.1272000000000001E-2</v>
      </c>
      <c r="G13" s="4" t="s">
        <v>51</v>
      </c>
      <c r="H13" s="18" t="s">
        <v>105</v>
      </c>
      <c r="I13" s="22">
        <v>1.1329000000000001E-2</v>
      </c>
      <c r="J13" s="12" t="s">
        <v>115</v>
      </c>
      <c r="M13" s="4" t="s">
        <v>51</v>
      </c>
      <c r="N13" s="22">
        <v>1.8439000000000001E-2</v>
      </c>
      <c r="O13" s="18" t="s">
        <v>153</v>
      </c>
      <c r="P13" s="12">
        <v>2.2883000000000001E-2</v>
      </c>
    </row>
    <row r="14" spans="1:16" x14ac:dyDescent="0.2">
      <c r="A14" s="4"/>
      <c r="B14" s="17" t="s">
        <v>58</v>
      </c>
      <c r="C14" s="21" t="s">
        <v>64</v>
      </c>
      <c r="D14" s="12" t="s">
        <v>78</v>
      </c>
      <c r="G14" s="4"/>
      <c r="H14" s="17" t="s">
        <v>101</v>
      </c>
      <c r="I14" s="21" t="s">
        <v>111</v>
      </c>
      <c r="J14" s="12" t="s">
        <v>121</v>
      </c>
      <c r="M14" s="4"/>
      <c r="N14" s="21" t="s">
        <v>141</v>
      </c>
      <c r="O14" s="17" t="s">
        <v>150</v>
      </c>
      <c r="P14" s="12" t="s">
        <v>159</v>
      </c>
    </row>
    <row r="23" spans="1:4" x14ac:dyDescent="0.2">
      <c r="A23" s="24"/>
      <c r="B23" s="24" t="s">
        <v>48</v>
      </c>
      <c r="C23" s="25" t="s">
        <v>90</v>
      </c>
      <c r="D23" s="13" t="s">
        <v>91</v>
      </c>
    </row>
    <row r="24" spans="1:4" x14ac:dyDescent="0.2">
      <c r="A24" s="18" t="s">
        <v>3</v>
      </c>
      <c r="B24" s="17" t="s">
        <v>92</v>
      </c>
      <c r="C24" s="22" t="s">
        <v>132</v>
      </c>
      <c r="D24" s="12" t="s">
        <v>166</v>
      </c>
    </row>
    <row r="25" spans="1:4" x14ac:dyDescent="0.2">
      <c r="A25" s="18"/>
      <c r="B25" s="17" t="s">
        <v>84</v>
      </c>
      <c r="C25" s="21" t="s">
        <v>126</v>
      </c>
      <c r="D25" s="12" t="s">
        <v>160</v>
      </c>
    </row>
    <row r="26" spans="1:4" x14ac:dyDescent="0.2">
      <c r="A26" s="18" t="s">
        <v>2</v>
      </c>
      <c r="B26" s="18">
        <v>1.1414799999999999E-2</v>
      </c>
      <c r="C26" s="21" t="s">
        <v>125</v>
      </c>
      <c r="D26" s="11">
        <v>2.2172999999999998E-2</v>
      </c>
    </row>
    <row r="27" spans="1:4" x14ac:dyDescent="0.2">
      <c r="A27" s="18"/>
      <c r="B27" s="17" t="s">
        <v>85</v>
      </c>
      <c r="C27" s="21" t="s">
        <v>127</v>
      </c>
      <c r="D27" s="12" t="s">
        <v>161</v>
      </c>
    </row>
    <row r="28" spans="1:4" x14ac:dyDescent="0.2">
      <c r="A28" s="18" t="s">
        <v>49</v>
      </c>
      <c r="B28" s="17" t="s">
        <v>83</v>
      </c>
      <c r="C28" s="22">
        <v>1.2201999999999999E-2</v>
      </c>
      <c r="D28" s="11">
        <v>3.2070000000000002E-3</v>
      </c>
    </row>
    <row r="29" spans="1:4" x14ac:dyDescent="0.2">
      <c r="A29" s="18"/>
      <c r="B29" s="17" t="s">
        <v>86</v>
      </c>
      <c r="C29" s="21" t="s">
        <v>128</v>
      </c>
      <c r="D29" s="12" t="s">
        <v>162</v>
      </c>
    </row>
    <row r="30" spans="1:4" x14ac:dyDescent="0.2">
      <c r="A30" s="18" t="s">
        <v>4</v>
      </c>
      <c r="B30" s="17" t="s">
        <v>93</v>
      </c>
      <c r="C30" s="21" t="s">
        <v>133</v>
      </c>
      <c r="D30" s="11">
        <v>6.6600999999999994E-2</v>
      </c>
    </row>
    <row r="31" spans="1:4" x14ac:dyDescent="0.2">
      <c r="A31" s="24"/>
      <c r="B31" s="19" t="s">
        <v>87</v>
      </c>
      <c r="C31" s="23" t="s">
        <v>129</v>
      </c>
      <c r="D31" s="15" t="s">
        <v>163</v>
      </c>
    </row>
    <row r="32" spans="1:4" x14ac:dyDescent="0.2">
      <c r="A32" s="18" t="s">
        <v>50</v>
      </c>
      <c r="B32" s="18" t="s">
        <v>94</v>
      </c>
      <c r="C32" s="22" t="s">
        <v>134</v>
      </c>
      <c r="D32" s="12" t="s">
        <v>167</v>
      </c>
    </row>
    <row r="33" spans="1:5" x14ac:dyDescent="0.2">
      <c r="A33" s="18"/>
      <c r="B33" s="17" t="s">
        <v>88</v>
      </c>
      <c r="C33" s="21" t="s">
        <v>130</v>
      </c>
      <c r="D33" s="12" t="s">
        <v>164</v>
      </c>
    </row>
    <row r="34" spans="1:5" x14ac:dyDescent="0.2">
      <c r="A34" s="18" t="s">
        <v>52</v>
      </c>
      <c r="B34" s="18" t="s">
        <v>95</v>
      </c>
      <c r="C34" s="22" t="s">
        <v>135</v>
      </c>
      <c r="D34" s="11" t="s">
        <v>168</v>
      </c>
    </row>
    <row r="35" spans="1:5" x14ac:dyDescent="0.2">
      <c r="A35" s="24"/>
      <c r="B35" s="19" t="s">
        <v>89</v>
      </c>
      <c r="C35" s="23" t="s">
        <v>131</v>
      </c>
      <c r="D35" s="15" t="s">
        <v>165</v>
      </c>
    </row>
    <row r="36" spans="1:5" x14ac:dyDescent="0.2">
      <c r="A36" s="4" t="s">
        <v>172</v>
      </c>
      <c r="B36" s="18">
        <v>0.18279999999999999</v>
      </c>
      <c r="C36" s="22">
        <v>0.31430000000000002</v>
      </c>
      <c r="D36" s="11">
        <v>9.2579999999999996E-2</v>
      </c>
      <c r="E36" s="11"/>
    </row>
    <row r="37" spans="1:5" x14ac:dyDescent="0.2">
      <c r="B37" s="11"/>
      <c r="C37" s="11"/>
      <c r="D37" s="11"/>
      <c r="E37" s="11"/>
    </row>
  </sheetData>
  <mergeCells count="3">
    <mergeCell ref="B1:D1"/>
    <mergeCell ref="H1:J1"/>
    <mergeCell ref="N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 Analysis</vt:lpstr>
      <vt:lpstr>Describe Var.</vt:lpstr>
      <vt:lpstr>Cross.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Fierro Zamora</dc:creator>
  <cp:lastModifiedBy>Pedro Fierro Zamora</cp:lastModifiedBy>
  <dcterms:created xsi:type="dcterms:W3CDTF">2025-02-25T12:13:11Z</dcterms:created>
  <dcterms:modified xsi:type="dcterms:W3CDTF">2025-02-25T17:00:00Z</dcterms:modified>
</cp:coreProperties>
</file>